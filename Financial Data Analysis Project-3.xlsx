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xr:revisionPtr revIDLastSave="0" documentId="8_{0BBCE9CE-32F0-491B-9F43-4D00BE78E949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Raw Data" sheetId="1" r:id="rId1"/>
    <sheet name="Catergory Analysis" sheetId="2" r:id="rId2"/>
    <sheet name="Time Analysis" sheetId="3" r:id="rId3"/>
    <sheet name="Dashboard" sheetId="4" r:id="rId4"/>
  </sheets>
  <calcPr calcId="191028"/>
  <pivotCaches>
    <pivotCache cacheId="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4" l="1"/>
  <c r="B2" i="4"/>
</calcChain>
</file>

<file path=xl/sharedStrings.xml><?xml version="1.0" encoding="utf-8"?>
<sst xmlns="http://schemas.openxmlformats.org/spreadsheetml/2006/main" count="97" uniqueCount="32">
  <si>
    <t>Date</t>
  </si>
  <si>
    <t>Category</t>
  </si>
  <si>
    <t>Description</t>
  </si>
  <si>
    <t>Amount</t>
  </si>
  <si>
    <t>Food</t>
  </si>
  <si>
    <t>Groceries</t>
  </si>
  <si>
    <t>Transport</t>
  </si>
  <si>
    <t>Bus</t>
  </si>
  <si>
    <t>Lunch</t>
  </si>
  <si>
    <t>Entertainment</t>
  </si>
  <si>
    <t>Cinema</t>
  </si>
  <si>
    <t>Shopping</t>
  </si>
  <si>
    <t>Clothes</t>
  </si>
  <si>
    <t>Coffee</t>
  </si>
  <si>
    <t>Train</t>
  </si>
  <si>
    <t>Dinner</t>
  </si>
  <si>
    <t>Bills</t>
  </si>
  <si>
    <t>Phone Bill</t>
  </si>
  <si>
    <t>Netflix</t>
  </si>
  <si>
    <t>Shoes</t>
  </si>
  <si>
    <t>Drinks</t>
  </si>
  <si>
    <t>Uber</t>
  </si>
  <si>
    <t>Makeup</t>
  </si>
  <si>
    <t>Electricity</t>
  </si>
  <si>
    <t>Concert</t>
  </si>
  <si>
    <t>Gift</t>
  </si>
  <si>
    <t>Internet</t>
  </si>
  <si>
    <t>Accessories</t>
  </si>
  <si>
    <t>Sum of Amount ($)</t>
  </si>
  <si>
    <t>Grand Total</t>
  </si>
  <si>
    <t>Finance Dashboard</t>
  </si>
  <si>
    <t>Total Spending: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</si>
</sst>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5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color rgb="FF000000"/>
      <name val="Calibri"/>
      <scheme val="minor"/>
    </font>
    <font>
      <b/>
      <u/>
      <sz val="20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pivotButton="1"/>
    <xf numFmtId="0" fontId="0" fillId="0" borderId="0" xfId="0" applyNumberFormat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4" fontId="4" fillId="2" borderId="0" xfId="0" applyNumberFormat="1" applyFont="1" applyFill="1"/>
  </cellXfs>
  <cellStyles count="1">
    <cellStyle name="Normal" xfId="0" builtinId="0"/>
  </cellStyles>
  <dxfs count="2">
    <dxf>
      <numFmt numFmtId="21" formatCode="dd\-mmm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colors>
    <mruColors>
      <color rgb="FFED0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Data Analysis Project.xlsx]Catergory Analysis!PivotTable1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 Breakdown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'Catergory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56-4B05-8FD1-79317D66C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56-4B05-8FD1-79317D66CF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56-4B05-8FD1-79317D66CF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56-4B05-8FD1-79317D66CF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56-4B05-8FD1-79317D66CF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'Catergory Analysis'!$A$4:$A$9</c:f>
              <c:strCache>
                <c:ptCount val="5"/>
                <c:pt idx="0">
                  <c:v>Bills</c:v>
                </c:pt>
                <c:pt idx="1">
                  <c:v>Entertainment</c:v>
                </c:pt>
                <c:pt idx="2">
                  <c:v>Food</c:v>
                </c:pt>
                <c:pt idx="3">
                  <c:v>Shopping</c:v>
                </c:pt>
                <c:pt idx="4">
                  <c:v>Transport</c:v>
                </c:pt>
              </c:strCache>
            </c:strRef>
          </c:cat>
          <c:val>
            <c:numRef>
              <c:f>'Catergory Analysis'!$B$4:$B$9</c:f>
              <c:numCache>
                <c:formatCode>General</c:formatCode>
                <c:ptCount val="5"/>
                <c:pt idx="0">
                  <c:v>54</c:v>
                </c:pt>
                <c:pt idx="1">
                  <c:v>88</c:v>
                </c:pt>
                <c:pt idx="2">
                  <c:v>250</c:v>
                </c:pt>
                <c:pt idx="3">
                  <c:v>105</c:v>
                </c:pt>
                <c:pt idx="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D56-4B05-8FD1-79317D66CF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Data Analysis Project.xlsx]Time Analysis!PivotTable1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Spending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'Time Analysis'!$A$4:$A$24</c:f>
              <c:strCache>
                <c:ptCount val="20"/>
                <c:pt idx="0">
                  <c:v>01-Feb</c:v>
                </c:pt>
                <c:pt idx="1">
                  <c:v>02-Feb</c:v>
                </c:pt>
                <c:pt idx="2">
                  <c:v>03-Feb</c:v>
                </c:pt>
                <c:pt idx="3">
                  <c:v>04-Feb</c:v>
                </c:pt>
                <c:pt idx="4">
                  <c:v>05-Feb</c:v>
                </c:pt>
                <c:pt idx="5">
                  <c:v>06-Feb</c:v>
                </c:pt>
                <c:pt idx="6">
                  <c:v>07-Feb</c:v>
                </c:pt>
                <c:pt idx="7">
                  <c:v>08-Feb</c:v>
                </c:pt>
                <c:pt idx="8">
                  <c:v>09-Feb</c:v>
                </c:pt>
                <c:pt idx="9">
                  <c:v>10-Feb</c:v>
                </c:pt>
                <c:pt idx="10">
                  <c:v>11-Feb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</c:strCache>
            </c:strRef>
          </c:cat>
          <c:val>
            <c:numRef>
              <c:f>'Time Analysis'!$B$4:$B$24</c:f>
              <c:numCache>
                <c:formatCode>General</c:formatCode>
                <c:ptCount val="20"/>
                <c:pt idx="0">
                  <c:v>15</c:v>
                </c:pt>
                <c:pt idx="1">
                  <c:v>18</c:v>
                </c:pt>
                <c:pt idx="2">
                  <c:v>29</c:v>
                </c:pt>
                <c:pt idx="3">
                  <c:v>21</c:v>
                </c:pt>
                <c:pt idx="4">
                  <c:v>38</c:v>
                </c:pt>
                <c:pt idx="5">
                  <c:v>18</c:v>
                </c:pt>
                <c:pt idx="6">
                  <c:v>43</c:v>
                </c:pt>
                <c:pt idx="7">
                  <c:v>23</c:v>
                </c:pt>
                <c:pt idx="8">
                  <c:v>26</c:v>
                </c:pt>
                <c:pt idx="9">
                  <c:v>38</c:v>
                </c:pt>
                <c:pt idx="10">
                  <c:v>39</c:v>
                </c:pt>
                <c:pt idx="11">
                  <c:v>37</c:v>
                </c:pt>
                <c:pt idx="12">
                  <c:v>48</c:v>
                </c:pt>
                <c:pt idx="13">
                  <c:v>22</c:v>
                </c:pt>
                <c:pt idx="14">
                  <c:v>23</c:v>
                </c:pt>
                <c:pt idx="15">
                  <c:v>42</c:v>
                </c:pt>
                <c:pt idx="16">
                  <c:v>27</c:v>
                </c:pt>
                <c:pt idx="17">
                  <c:v>24</c:v>
                </c:pt>
                <c:pt idx="18">
                  <c:v>12</c:v>
                </c:pt>
                <c:pt idx="1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9-4A93-8324-767F994A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4518535"/>
        <c:axId val="1635360775"/>
      </c:lineChart>
      <c:catAx>
        <c:axId val="1634518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60775"/>
        <c:crosses val="autoZero"/>
        <c:auto val="1"/>
        <c:lblAlgn val="ctr"/>
        <c:lblOffset val="100"/>
        <c:noMultiLvlLbl val="0"/>
      </c:catAx>
      <c:valAx>
        <c:axId val="1635360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518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3</xdr:row>
      <xdr:rowOff>171450</xdr:rowOff>
    </xdr:from>
    <xdr:to>
      <xdr:col>4</xdr:col>
      <xdr:colOff>904875</xdr:colOff>
      <xdr:row>18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3C46D-C5B4-BA93-0224-F4FD79B61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1666875</xdr:colOff>
      <xdr:row>3</xdr:row>
      <xdr:rowOff>180975</xdr:rowOff>
    </xdr:from>
    <xdr:to>
      <xdr:col>11</xdr:col>
      <xdr:colOff>171450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446CD6-8429-F678-AE64-F92C90F7EA04}"/>
            </a:ext>
            <a:ext uri="{147F2762-F138-4A5C-976F-8EAC2B608ADB}">
              <a16:predDERef xmlns:a16="http://schemas.microsoft.com/office/drawing/2014/main" pred="{60C3C46D-C5B4-BA93-0224-F4FD79B61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4.976196180556" createdVersion="8" refreshedVersion="8" minRefreshableVersion="3" recordCount="40" xr:uid="{03A9B050-27F6-4E74-8CDE-A009962992C4}">
  <cacheSource type="worksheet">
    <worksheetSource name="Table2"/>
  </cacheSource>
  <cacheFields count="4">
    <cacheField name="Date" numFmtId="16">
      <sharedItems containsSemiMixedTypes="0" containsNonDate="0" containsDate="1" containsString="0" minDate="2026-02-01T00:00:00" maxDate="2026-02-21T00:00:00" count="20"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</sharedItems>
    </cacheField>
    <cacheField name="Catergory" numFmtId="0">
      <sharedItems count="5">
        <s v="Food"/>
        <s v="Transport"/>
        <s v="Entertainment"/>
        <s v="Shopping"/>
        <s v="Bills"/>
      </sharedItems>
    </cacheField>
    <cacheField name="Description" numFmtId="0">
      <sharedItems/>
    </cacheField>
    <cacheField name="Amount ($)" numFmtId="0">
      <sharedItems containsSemiMixedTypes="0" containsString="0" containsNumber="1" containsInteger="1" minValue="3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s v="Groceries"/>
    <n v="12"/>
  </r>
  <r>
    <x v="0"/>
    <x v="1"/>
    <s v="Bus"/>
    <n v="3"/>
  </r>
  <r>
    <x v="1"/>
    <x v="0"/>
    <s v="Lunch"/>
    <n v="8"/>
  </r>
  <r>
    <x v="1"/>
    <x v="2"/>
    <s v="Cinema"/>
    <n v="10"/>
  </r>
  <r>
    <x v="2"/>
    <x v="3"/>
    <s v="Clothes"/>
    <n v="25"/>
  </r>
  <r>
    <x v="2"/>
    <x v="0"/>
    <s v="Coffee"/>
    <n v="4"/>
  </r>
  <r>
    <x v="3"/>
    <x v="1"/>
    <s v="Train"/>
    <n v="6"/>
  </r>
  <r>
    <x v="3"/>
    <x v="0"/>
    <s v="Dinner"/>
    <n v="15"/>
  </r>
  <r>
    <x v="4"/>
    <x v="4"/>
    <s v="Phone Bill"/>
    <n v="20"/>
  </r>
  <r>
    <x v="4"/>
    <x v="0"/>
    <s v="Groceries"/>
    <n v="18"/>
  </r>
  <r>
    <x v="5"/>
    <x v="2"/>
    <s v="Netflix"/>
    <n v="11"/>
  </r>
  <r>
    <x v="5"/>
    <x v="0"/>
    <s v="Lunch"/>
    <n v="7"/>
  </r>
  <r>
    <x v="6"/>
    <x v="1"/>
    <s v="Bus"/>
    <n v="3"/>
  </r>
  <r>
    <x v="6"/>
    <x v="3"/>
    <s v="Shoes"/>
    <n v="40"/>
  </r>
  <r>
    <x v="7"/>
    <x v="0"/>
    <s v="Coffee"/>
    <n v="3"/>
  </r>
  <r>
    <x v="7"/>
    <x v="2"/>
    <s v="Drinks"/>
    <n v="20"/>
  </r>
  <r>
    <x v="8"/>
    <x v="0"/>
    <s v="Dinner"/>
    <n v="14"/>
  </r>
  <r>
    <x v="8"/>
    <x v="1"/>
    <s v="Uber"/>
    <n v="12"/>
  </r>
  <r>
    <x v="9"/>
    <x v="3"/>
    <s v="Makeup"/>
    <n v="22"/>
  </r>
  <r>
    <x v="9"/>
    <x v="0"/>
    <s v="Groceries"/>
    <n v="16"/>
  </r>
  <r>
    <x v="10"/>
    <x v="0"/>
    <s v="Lunch"/>
    <n v="30"/>
  </r>
  <r>
    <x v="10"/>
    <x v="4"/>
    <s v="Electricity"/>
    <n v="9"/>
  </r>
  <r>
    <x v="11"/>
    <x v="1"/>
    <s v="Train"/>
    <n v="30"/>
  </r>
  <r>
    <x v="11"/>
    <x v="0"/>
    <s v="Dinner"/>
    <n v="7"/>
  </r>
  <r>
    <x v="12"/>
    <x v="2"/>
    <s v="Concert"/>
    <n v="13"/>
  </r>
  <r>
    <x v="12"/>
    <x v="0"/>
    <s v="Coffee"/>
    <n v="35"/>
  </r>
  <r>
    <x v="13"/>
    <x v="3"/>
    <s v="Gift"/>
    <n v="4"/>
  </r>
  <r>
    <x v="13"/>
    <x v="0"/>
    <s v="Dinner"/>
    <n v="18"/>
  </r>
  <r>
    <x v="14"/>
    <x v="1"/>
    <s v="Bus"/>
    <n v="20"/>
  </r>
  <r>
    <x v="14"/>
    <x v="0"/>
    <s v="Lunch"/>
    <n v="3"/>
  </r>
  <r>
    <x v="15"/>
    <x v="4"/>
    <s v="Internet"/>
    <n v="25"/>
  </r>
  <r>
    <x v="15"/>
    <x v="0"/>
    <s v="Groceries"/>
    <n v="17"/>
  </r>
  <r>
    <x v="16"/>
    <x v="2"/>
    <s v="Cinema"/>
    <n v="12"/>
  </r>
  <r>
    <x v="16"/>
    <x v="0"/>
    <s v="Dinner"/>
    <n v="15"/>
  </r>
  <r>
    <x v="17"/>
    <x v="1"/>
    <s v="Uber"/>
    <n v="10"/>
  </r>
  <r>
    <x v="17"/>
    <x v="3"/>
    <s v="Accessories"/>
    <n v="14"/>
  </r>
  <r>
    <x v="18"/>
    <x v="0"/>
    <s v="Coffee"/>
    <n v="3"/>
  </r>
  <r>
    <x v="18"/>
    <x v="0"/>
    <s v="Lunch"/>
    <n v="9"/>
  </r>
  <r>
    <x v="19"/>
    <x v="2"/>
    <s v="Drinks"/>
    <n v="22"/>
  </r>
  <r>
    <x v="19"/>
    <x v="0"/>
    <s v="Dinner"/>
    <n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0D63D-B82A-4956-B193-9C6C4ADEA29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9" firstHeaderRow="1" firstDataRow="1" firstDataCol="1"/>
  <pivotFields count="4">
    <pivotField compact="0" numFmtId="16" outline="0" showAll="0"/>
    <pivotField name="Category" axis="axisRow" compact="0" outline="0" showAll="0">
      <items count="6">
        <item x="4"/>
        <item x="2"/>
        <item x="0"/>
        <item x="3"/>
        <item x="1"/>
        <item t="default"/>
      </items>
    </pivotField>
    <pivotField compact="0" outline="0" showAll="0"/>
    <pivotField dataField="1"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 ($)" fld="3" baseField="0" baseItem="0"/>
  </dataFields>
  <chartFormats count="2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287B5-B454-40E6-8FD8-FFB683F03D0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24" firstHeaderRow="1" firstDataRow="1" firstDataCol="1"/>
  <pivotFields count="4">
    <pivotField axis="axisRow" compact="0" numFmtId="16" outline="0" showAll="0" sortType="ascending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Amount ($)" fld="3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322E86-997D-48FD-9A16-57874E46A51B}" name="Table2" displayName="Table2" ref="A1:D41" totalsRowShown="0" headerRowDxfId="1">
  <autoFilter ref="A1:D41" xr:uid="{1C322E86-997D-48FD-9A16-57874E46A51B}"/>
  <tableColumns count="4">
    <tableColumn id="1" xr3:uid="{462306B1-6D52-4E11-93A0-9A33E2D12D36}" name="Date" dataDxfId="0"/>
    <tableColumn id="2" xr3:uid="{0CD66EE5-1B2C-41DB-9462-07B01B5D6700}" name="Category"/>
    <tableColumn id="3" xr3:uid="{72416E86-BB44-4BA3-A7EC-752620F20BA9}" name="Description"/>
    <tableColumn id="4" xr3:uid="{101DF476-2A56-4AF4-9D5C-0D445AEEA2B0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G3" sqref="G3"/>
    </sheetView>
  </sheetViews>
  <sheetFormatPr defaultRowHeight="15"/>
  <cols>
    <col min="1" max="1" width="7.42578125" bestFit="1" customWidth="1"/>
    <col min="2" max="2" width="13.5703125" bestFit="1" customWidth="1"/>
    <col min="3" max="4" width="13.28515625" bestFit="1" customWidth="1"/>
    <col min="6" max="6" width="10.85546875" customWidth="1"/>
    <col min="7" max="7" width="13.5703125" customWidth="1"/>
    <col min="8" max="8" width="9.42578125" customWidth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F1" s="3"/>
      <c r="G1" s="3"/>
    </row>
    <row r="2" spans="1:7">
      <c r="A2" s="1">
        <v>46054</v>
      </c>
      <c r="B2" t="s">
        <v>4</v>
      </c>
      <c r="C2" t="s">
        <v>5</v>
      </c>
      <c r="D2">
        <v>12</v>
      </c>
    </row>
    <row r="3" spans="1:7">
      <c r="A3" s="1">
        <v>46054</v>
      </c>
      <c r="B3" t="s">
        <v>6</v>
      </c>
      <c r="C3" t="s">
        <v>7</v>
      </c>
      <c r="D3">
        <v>3</v>
      </c>
    </row>
    <row r="4" spans="1:7">
      <c r="A4" s="1">
        <v>46055</v>
      </c>
      <c r="B4" t="s">
        <v>4</v>
      </c>
      <c r="C4" t="s">
        <v>8</v>
      </c>
      <c r="D4">
        <v>8</v>
      </c>
    </row>
    <row r="5" spans="1:7">
      <c r="A5" s="1">
        <v>46055</v>
      </c>
      <c r="B5" t="s">
        <v>9</v>
      </c>
      <c r="C5" t="s">
        <v>10</v>
      </c>
      <c r="D5">
        <v>10</v>
      </c>
    </row>
    <row r="6" spans="1:7">
      <c r="A6" s="1">
        <v>46056</v>
      </c>
      <c r="B6" t="s">
        <v>11</v>
      </c>
      <c r="C6" t="s">
        <v>12</v>
      </c>
      <c r="D6">
        <v>25</v>
      </c>
    </row>
    <row r="7" spans="1:7">
      <c r="A7" s="1">
        <v>46056</v>
      </c>
      <c r="B7" t="s">
        <v>4</v>
      </c>
      <c r="C7" t="s">
        <v>13</v>
      </c>
      <c r="D7">
        <v>4</v>
      </c>
    </row>
    <row r="8" spans="1:7">
      <c r="A8" s="1">
        <v>46057</v>
      </c>
      <c r="B8" t="s">
        <v>6</v>
      </c>
      <c r="C8" t="s">
        <v>14</v>
      </c>
      <c r="D8">
        <v>6</v>
      </c>
    </row>
    <row r="9" spans="1:7">
      <c r="A9" s="1">
        <v>46057</v>
      </c>
      <c r="B9" t="s">
        <v>4</v>
      </c>
      <c r="C9" t="s">
        <v>15</v>
      </c>
      <c r="D9">
        <v>15</v>
      </c>
    </row>
    <row r="10" spans="1:7">
      <c r="A10" s="1">
        <v>46058</v>
      </c>
      <c r="B10" t="s">
        <v>16</v>
      </c>
      <c r="C10" t="s">
        <v>17</v>
      </c>
      <c r="D10">
        <v>20</v>
      </c>
    </row>
    <row r="11" spans="1:7">
      <c r="A11" s="1">
        <v>46058</v>
      </c>
      <c r="B11" t="s">
        <v>4</v>
      </c>
      <c r="C11" t="s">
        <v>5</v>
      </c>
      <c r="D11">
        <v>18</v>
      </c>
    </row>
    <row r="12" spans="1:7">
      <c r="A12" s="1">
        <v>46059</v>
      </c>
      <c r="B12" t="s">
        <v>9</v>
      </c>
      <c r="C12" t="s">
        <v>18</v>
      </c>
      <c r="D12">
        <v>11</v>
      </c>
    </row>
    <row r="13" spans="1:7">
      <c r="A13" s="1">
        <v>46059</v>
      </c>
      <c r="B13" t="s">
        <v>4</v>
      </c>
      <c r="C13" t="s">
        <v>8</v>
      </c>
      <c r="D13">
        <v>7</v>
      </c>
    </row>
    <row r="14" spans="1:7">
      <c r="A14" s="1">
        <v>46060</v>
      </c>
      <c r="B14" t="s">
        <v>6</v>
      </c>
      <c r="C14" t="s">
        <v>7</v>
      </c>
      <c r="D14">
        <v>3</v>
      </c>
    </row>
    <row r="15" spans="1:7">
      <c r="A15" s="1">
        <v>46060</v>
      </c>
      <c r="B15" t="s">
        <v>11</v>
      </c>
      <c r="C15" t="s">
        <v>19</v>
      </c>
      <c r="D15">
        <v>40</v>
      </c>
    </row>
    <row r="16" spans="1:7">
      <c r="A16" s="1">
        <v>46061</v>
      </c>
      <c r="B16" t="s">
        <v>4</v>
      </c>
      <c r="C16" t="s">
        <v>13</v>
      </c>
      <c r="D16">
        <v>3</v>
      </c>
    </row>
    <row r="17" spans="1:4">
      <c r="A17" s="1">
        <v>46061</v>
      </c>
      <c r="B17" t="s">
        <v>9</v>
      </c>
      <c r="C17" t="s">
        <v>20</v>
      </c>
      <c r="D17">
        <v>20</v>
      </c>
    </row>
    <row r="18" spans="1:4">
      <c r="A18" s="1">
        <v>46062</v>
      </c>
      <c r="B18" t="s">
        <v>4</v>
      </c>
      <c r="C18" t="s">
        <v>15</v>
      </c>
      <c r="D18">
        <v>14</v>
      </c>
    </row>
    <row r="19" spans="1:4">
      <c r="A19" s="1">
        <v>46062</v>
      </c>
      <c r="B19" t="s">
        <v>6</v>
      </c>
      <c r="C19" t="s">
        <v>21</v>
      </c>
      <c r="D19">
        <v>12</v>
      </c>
    </row>
    <row r="20" spans="1:4">
      <c r="A20" s="1">
        <v>46063</v>
      </c>
      <c r="B20" t="s">
        <v>11</v>
      </c>
      <c r="C20" t="s">
        <v>22</v>
      </c>
      <c r="D20">
        <v>22</v>
      </c>
    </row>
    <row r="21" spans="1:4">
      <c r="A21" s="1">
        <v>46063</v>
      </c>
      <c r="B21" t="s">
        <v>4</v>
      </c>
      <c r="C21" t="s">
        <v>5</v>
      </c>
      <c r="D21">
        <v>16</v>
      </c>
    </row>
    <row r="22" spans="1:4">
      <c r="A22" s="1">
        <v>46064</v>
      </c>
      <c r="B22" t="s">
        <v>4</v>
      </c>
      <c r="C22" t="s">
        <v>8</v>
      </c>
      <c r="D22">
        <v>30</v>
      </c>
    </row>
    <row r="23" spans="1:4">
      <c r="A23" s="1">
        <v>46064</v>
      </c>
      <c r="B23" t="s">
        <v>16</v>
      </c>
      <c r="C23" t="s">
        <v>23</v>
      </c>
      <c r="D23">
        <v>9</v>
      </c>
    </row>
    <row r="24" spans="1:4">
      <c r="A24" s="1">
        <v>46065</v>
      </c>
      <c r="B24" t="s">
        <v>6</v>
      </c>
      <c r="C24" t="s">
        <v>14</v>
      </c>
      <c r="D24">
        <v>30</v>
      </c>
    </row>
    <row r="25" spans="1:4">
      <c r="A25" s="1">
        <v>46065</v>
      </c>
      <c r="B25" t="s">
        <v>4</v>
      </c>
      <c r="C25" t="s">
        <v>15</v>
      </c>
      <c r="D25">
        <v>7</v>
      </c>
    </row>
    <row r="26" spans="1:4">
      <c r="A26" s="1">
        <v>46066</v>
      </c>
      <c r="B26" t="s">
        <v>9</v>
      </c>
      <c r="C26" t="s">
        <v>24</v>
      </c>
      <c r="D26">
        <v>13</v>
      </c>
    </row>
    <row r="27" spans="1:4">
      <c r="A27" s="1">
        <v>46066</v>
      </c>
      <c r="B27" t="s">
        <v>4</v>
      </c>
      <c r="C27" t="s">
        <v>13</v>
      </c>
      <c r="D27">
        <v>35</v>
      </c>
    </row>
    <row r="28" spans="1:4">
      <c r="A28" s="1">
        <v>46067</v>
      </c>
      <c r="B28" t="s">
        <v>11</v>
      </c>
      <c r="C28" t="s">
        <v>25</v>
      </c>
      <c r="D28">
        <v>4</v>
      </c>
    </row>
    <row r="29" spans="1:4">
      <c r="A29" s="1">
        <v>46067</v>
      </c>
      <c r="B29" t="s">
        <v>4</v>
      </c>
      <c r="C29" t="s">
        <v>15</v>
      </c>
      <c r="D29">
        <v>18</v>
      </c>
    </row>
    <row r="30" spans="1:4">
      <c r="A30" s="1">
        <v>46068</v>
      </c>
      <c r="B30" t="s">
        <v>6</v>
      </c>
      <c r="C30" t="s">
        <v>7</v>
      </c>
      <c r="D30">
        <v>20</v>
      </c>
    </row>
    <row r="31" spans="1:4">
      <c r="A31" s="1">
        <v>46068</v>
      </c>
      <c r="B31" t="s">
        <v>4</v>
      </c>
      <c r="C31" t="s">
        <v>8</v>
      </c>
      <c r="D31">
        <v>3</v>
      </c>
    </row>
    <row r="32" spans="1:4">
      <c r="A32" s="1">
        <v>46069</v>
      </c>
      <c r="B32" t="s">
        <v>16</v>
      </c>
      <c r="C32" t="s">
        <v>26</v>
      </c>
      <c r="D32">
        <v>25</v>
      </c>
    </row>
    <row r="33" spans="1:4">
      <c r="A33" s="1">
        <v>46069</v>
      </c>
      <c r="B33" t="s">
        <v>4</v>
      </c>
      <c r="C33" t="s">
        <v>5</v>
      </c>
      <c r="D33">
        <v>17</v>
      </c>
    </row>
    <row r="34" spans="1:4">
      <c r="A34" s="1">
        <v>46070</v>
      </c>
      <c r="B34" t="s">
        <v>9</v>
      </c>
      <c r="C34" t="s">
        <v>10</v>
      </c>
      <c r="D34">
        <v>12</v>
      </c>
    </row>
    <row r="35" spans="1:4">
      <c r="A35" s="1">
        <v>46070</v>
      </c>
      <c r="B35" t="s">
        <v>4</v>
      </c>
      <c r="C35" t="s">
        <v>15</v>
      </c>
      <c r="D35">
        <v>15</v>
      </c>
    </row>
    <row r="36" spans="1:4">
      <c r="A36" s="1">
        <v>46071</v>
      </c>
      <c r="B36" t="s">
        <v>6</v>
      </c>
      <c r="C36" t="s">
        <v>21</v>
      </c>
      <c r="D36">
        <v>10</v>
      </c>
    </row>
    <row r="37" spans="1:4">
      <c r="A37" s="1">
        <v>46071</v>
      </c>
      <c r="B37" t="s">
        <v>11</v>
      </c>
      <c r="C37" t="s">
        <v>27</v>
      </c>
      <c r="D37">
        <v>14</v>
      </c>
    </row>
    <row r="38" spans="1:4">
      <c r="A38" s="1">
        <v>46072</v>
      </c>
      <c r="B38" t="s">
        <v>4</v>
      </c>
      <c r="C38" t="s">
        <v>13</v>
      </c>
      <c r="D38">
        <v>3</v>
      </c>
    </row>
    <row r="39" spans="1:4">
      <c r="A39" s="1">
        <v>46072</v>
      </c>
      <c r="B39" t="s">
        <v>4</v>
      </c>
      <c r="C39" t="s">
        <v>8</v>
      </c>
      <c r="D39">
        <v>9</v>
      </c>
    </row>
    <row r="40" spans="1:4">
      <c r="A40" s="1">
        <v>46073</v>
      </c>
      <c r="B40" t="s">
        <v>9</v>
      </c>
      <c r="C40" t="s">
        <v>20</v>
      </c>
      <c r="D40">
        <v>22</v>
      </c>
    </row>
    <row r="41" spans="1:4">
      <c r="A41" s="1">
        <v>46073</v>
      </c>
      <c r="B41" t="s">
        <v>4</v>
      </c>
      <c r="C41" t="s">
        <v>15</v>
      </c>
      <c r="D41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86E0-D3D8-40D3-B603-E24DE1762ED9}">
  <dimension ref="A3:B9"/>
  <sheetViews>
    <sheetView workbookViewId="0">
      <selection activeCell="D14" sqref="D14"/>
    </sheetView>
  </sheetViews>
  <sheetFormatPr defaultRowHeight="15"/>
  <cols>
    <col min="1" max="1" width="13.5703125" bestFit="1" customWidth="1"/>
    <col min="2" max="2" width="17.7109375" bestFit="1" customWidth="1"/>
  </cols>
  <sheetData>
    <row r="3" spans="1:2">
      <c r="A3" s="4" t="s">
        <v>1</v>
      </c>
      <c r="B3" t="s">
        <v>28</v>
      </c>
    </row>
    <row r="4" spans="1:2">
      <c r="A4" t="s">
        <v>16</v>
      </c>
      <c r="B4" s="5">
        <v>54</v>
      </c>
    </row>
    <row r="5" spans="1:2">
      <c r="A5" t="s">
        <v>9</v>
      </c>
      <c r="B5" s="5">
        <v>88</v>
      </c>
    </row>
    <row r="6" spans="1:2">
      <c r="A6" t="s">
        <v>4</v>
      </c>
      <c r="B6" s="5">
        <v>250</v>
      </c>
    </row>
    <row r="7" spans="1:2">
      <c r="A7" t="s">
        <v>11</v>
      </c>
      <c r="B7" s="5">
        <v>105</v>
      </c>
    </row>
    <row r="8" spans="1:2">
      <c r="A8" t="s">
        <v>6</v>
      </c>
      <c r="B8" s="5">
        <v>84</v>
      </c>
    </row>
    <row r="9" spans="1:2">
      <c r="A9" t="s">
        <v>29</v>
      </c>
      <c r="B9" s="5">
        <v>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BCA9-C195-491E-821D-90B7DC898265}">
  <dimension ref="A3:B24"/>
  <sheetViews>
    <sheetView workbookViewId="0">
      <selection activeCell="B4" sqref="B4"/>
    </sheetView>
  </sheetViews>
  <sheetFormatPr defaultRowHeight="15"/>
  <cols>
    <col min="1" max="1" width="11.42578125" bestFit="1" customWidth="1"/>
    <col min="2" max="2" width="17.7109375" bestFit="1" customWidth="1"/>
  </cols>
  <sheetData>
    <row r="3" spans="1:2">
      <c r="A3" s="4" t="s">
        <v>0</v>
      </c>
      <c r="B3" t="s">
        <v>28</v>
      </c>
    </row>
    <row r="4" spans="1:2">
      <c r="A4" s="1">
        <v>46054</v>
      </c>
      <c r="B4" s="5">
        <v>15</v>
      </c>
    </row>
    <row r="5" spans="1:2">
      <c r="A5" s="1">
        <v>46055</v>
      </c>
      <c r="B5" s="5">
        <v>18</v>
      </c>
    </row>
    <row r="6" spans="1:2">
      <c r="A6" s="1">
        <v>46056</v>
      </c>
      <c r="B6" s="5">
        <v>29</v>
      </c>
    </row>
    <row r="7" spans="1:2">
      <c r="A7" s="1">
        <v>46057</v>
      </c>
      <c r="B7" s="5">
        <v>21</v>
      </c>
    </row>
    <row r="8" spans="1:2">
      <c r="A8" s="1">
        <v>46058</v>
      </c>
      <c r="B8" s="5">
        <v>38</v>
      </c>
    </row>
    <row r="9" spans="1:2">
      <c r="A9" s="1">
        <v>46059</v>
      </c>
      <c r="B9" s="5">
        <v>18</v>
      </c>
    </row>
    <row r="10" spans="1:2">
      <c r="A10" s="1">
        <v>46060</v>
      </c>
      <c r="B10" s="5">
        <v>43</v>
      </c>
    </row>
    <row r="11" spans="1:2">
      <c r="A11" s="1">
        <v>46061</v>
      </c>
      <c r="B11" s="5">
        <v>23</v>
      </c>
    </row>
    <row r="12" spans="1:2">
      <c r="A12" s="1">
        <v>46062</v>
      </c>
      <c r="B12" s="5">
        <v>26</v>
      </c>
    </row>
    <row r="13" spans="1:2">
      <c r="A13" s="1">
        <v>46063</v>
      </c>
      <c r="B13" s="5">
        <v>38</v>
      </c>
    </row>
    <row r="14" spans="1:2">
      <c r="A14" s="1">
        <v>46064</v>
      </c>
      <c r="B14" s="5">
        <v>39</v>
      </c>
    </row>
    <row r="15" spans="1:2">
      <c r="A15" s="1">
        <v>46065</v>
      </c>
      <c r="B15" s="5">
        <v>37</v>
      </c>
    </row>
    <row r="16" spans="1:2">
      <c r="A16" s="1">
        <v>46066</v>
      </c>
      <c r="B16" s="5">
        <v>48</v>
      </c>
    </row>
    <row r="17" spans="1:2">
      <c r="A17" s="1">
        <v>46067</v>
      </c>
      <c r="B17" s="5">
        <v>22</v>
      </c>
    </row>
    <row r="18" spans="1:2">
      <c r="A18" s="1">
        <v>46068</v>
      </c>
      <c r="B18" s="5">
        <v>23</v>
      </c>
    </row>
    <row r="19" spans="1:2">
      <c r="A19" s="1">
        <v>46069</v>
      </c>
      <c r="B19" s="5">
        <v>42</v>
      </c>
    </row>
    <row r="20" spans="1:2">
      <c r="A20" s="1">
        <v>46070</v>
      </c>
      <c r="B20" s="5">
        <v>27</v>
      </c>
    </row>
    <row r="21" spans="1:2">
      <c r="A21" s="1">
        <v>46071</v>
      </c>
      <c r="B21" s="5">
        <v>24</v>
      </c>
    </row>
    <row r="22" spans="1:2">
      <c r="A22" s="1">
        <v>46072</v>
      </c>
      <c r="B22" s="5">
        <v>12</v>
      </c>
    </row>
    <row r="23" spans="1:2">
      <c r="A23" s="1">
        <v>46073</v>
      </c>
      <c r="B23" s="5">
        <v>38</v>
      </c>
    </row>
    <row r="24" spans="1:2">
      <c r="A24" s="1" t="s">
        <v>29</v>
      </c>
      <c r="B24" s="5">
        <v>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FCCB-D929-4BC2-8043-C7BC18F7A086}">
  <dimension ref="A1:E3"/>
  <sheetViews>
    <sheetView workbookViewId="0">
      <selection activeCell="E20" sqref="E20"/>
    </sheetView>
  </sheetViews>
  <sheetFormatPr defaultRowHeight="15"/>
  <cols>
    <col min="1" max="1" width="36.5703125" bestFit="1" customWidth="1"/>
    <col min="2" max="2" width="11.28515625" bestFit="1" customWidth="1"/>
    <col min="5" max="5" width="36.5703125" bestFit="1" customWidth="1"/>
  </cols>
  <sheetData>
    <row r="1" spans="1:5" ht="26.25">
      <c r="A1" s="6"/>
      <c r="E1" s="7" t="s">
        <v>30</v>
      </c>
    </row>
    <row r="2" spans="1:5" ht="15.75">
      <c r="A2" t="s">
        <v>31</v>
      </c>
      <c r="B2" s="8">
        <f>SUM('Raw Data'!D:D)</f>
        <v>581</v>
      </c>
    </row>
    <row r="3" spans="1:5">
      <c r="A3" t="str">
        <f>"Top Category: Food ($"&amp;250&amp;")"</f>
        <v>Top Category: Food ($250)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2026-02-21T22:33:13Z</dcterms:created>
  <dcterms:modified xsi:type="dcterms:W3CDTF">2026-03-01T14:44:45Z</dcterms:modified>
  <cp:category/>
  <cp:contentStatus/>
</cp:coreProperties>
</file>